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gt505\Google Drive\Flight Campaigns\ACRUISE\C285_300422\"/>
    </mc:Choice>
  </mc:AlternateContent>
  <bookViews>
    <workbookView xWindow="0" yWindow="0" windowWidth="28800" windowHeight="11856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0" i="1" l="1"/>
  <c r="G10" i="1"/>
  <c r="I9" i="1"/>
  <c r="G9" i="1"/>
  <c r="G8" i="1"/>
  <c r="I8" i="1" s="1"/>
  <c r="G7" i="1"/>
  <c r="I7" i="1" s="1"/>
  <c r="I6" i="1"/>
  <c r="G6" i="1"/>
  <c r="I5" i="1"/>
  <c r="G5" i="1"/>
  <c r="G4" i="1"/>
  <c r="I4" i="1" s="1"/>
  <c r="G3" i="1"/>
  <c r="I3" i="1" s="1"/>
  <c r="I2" i="1"/>
  <c r="G2" i="1"/>
</calcChain>
</file>

<file path=xl/sharedStrings.xml><?xml version="1.0" encoding="utf-8"?>
<sst xmlns="http://schemas.openxmlformats.org/spreadsheetml/2006/main" count="17" uniqueCount="17">
  <si>
    <t>Sensitivity Error</t>
  </si>
  <si>
    <t>Intercept</t>
  </si>
  <si>
    <t>Intercept Error</t>
  </si>
  <si>
    <t>Altitude</t>
  </si>
  <si>
    <t>Percent_err</t>
  </si>
  <si>
    <t>2022-04-30 12:43:40.213333248</t>
  </si>
  <si>
    <t>2022-04-30 13:18:28.080000</t>
  </si>
  <si>
    <t>2022-04-30 13:42:52.213333248</t>
  </si>
  <si>
    <t>2022-04-30 13:49:40.080000</t>
  </si>
  <si>
    <t>2022-04-30 14:16:36.080000</t>
  </si>
  <si>
    <t>2022-04-30 15:04:28.213333248</t>
  </si>
  <si>
    <t>2022-04-30 15:36:52.280000256</t>
  </si>
  <si>
    <t>2022-04-30 16:08:20.413333504</t>
  </si>
  <si>
    <t>2022-04-30 16:22:12.280000256</t>
  </si>
  <si>
    <t>c285_amb_time</t>
  </si>
  <si>
    <t>c285_amb_sens</t>
  </si>
  <si>
    <t>c285_amb_err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</si>
</sst>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Views>
    <sheetView tabSelected="1" workbookViewId="0">
      <selection activeCell="A2" sqref="A2:A10"/>
    </sheetView>
  </sheetViews>
  <sheetFormatPr defaultRowHeight="14.4" x14ac:dyDescent="0.3"/>
  <cols>
    <col min="1" max="1" width="27.88671875" bestFit="1" customWidth="1"/>
  </cols>
  <sheetData>
    <row r="1" spans="1:9" x14ac:dyDescent="0.3">
      <c r="A1" t="s">
        <v>14</v>
      </c>
      <c r="B1" t="s">
        <v>15</v>
      </c>
      <c r="C1" t="s">
        <v>0</v>
      </c>
      <c r="D1" t="s">
        <v>1</v>
      </c>
      <c r="E1" t="s">
        <v>2</v>
      </c>
      <c r="F1" t="s">
        <v>3</v>
      </c>
      <c r="G1" t="s">
        <v>16</v>
      </c>
      <c r="I1" t="s">
        <v>4</v>
      </c>
    </row>
    <row r="2" spans="1:9" x14ac:dyDescent="0.3">
      <c r="A2" s="1" t="s">
        <v>5</v>
      </c>
      <c r="B2">
        <v>33.342362142339503</v>
      </c>
      <c r="C2">
        <v>2.4610550552105601</v>
      </c>
      <c r="D2">
        <v>2604.8323607982002</v>
      </c>
      <c r="E2">
        <v>9535.7698155573707</v>
      </c>
      <c r="F2">
        <v>380</v>
      </c>
      <c r="G2">
        <f xml:space="preserve"> C2*2</f>
        <v>4.9221101104211202</v>
      </c>
      <c r="I2">
        <f xml:space="preserve"> (G2/B2) *100</f>
        <v>14.76233174304955</v>
      </c>
    </row>
    <row r="3" spans="1:9" x14ac:dyDescent="0.3">
      <c r="A3" s="1" t="s">
        <v>6</v>
      </c>
      <c r="B3">
        <v>34.355373334413301</v>
      </c>
      <c r="C3">
        <v>2.52484570642569</v>
      </c>
      <c r="D3">
        <v>1634.6970681381699</v>
      </c>
      <c r="E3">
        <v>9749.2325491514493</v>
      </c>
      <c r="F3">
        <v>410</v>
      </c>
      <c r="G3">
        <f t="shared" ref="G3:G10" si="0" xml:space="preserve"> C3*2</f>
        <v>5.0496914128513799</v>
      </c>
      <c r="I3">
        <f t="shared" ref="I3:I10" si="1" xml:space="preserve"> (G3/B3) *100</f>
        <v>14.698403547235431</v>
      </c>
    </row>
    <row r="4" spans="1:9" x14ac:dyDescent="0.3">
      <c r="A4" s="1" t="s">
        <v>7</v>
      </c>
      <c r="B4">
        <v>33.849763616623697</v>
      </c>
      <c r="C4">
        <v>2.0597853782042099</v>
      </c>
      <c r="D4">
        <v>1711.4824797644201</v>
      </c>
      <c r="E4">
        <v>8502.92632241311</v>
      </c>
      <c r="F4">
        <v>620</v>
      </c>
      <c r="G4">
        <f t="shared" si="0"/>
        <v>4.1195707564084199</v>
      </c>
      <c r="I4">
        <f t="shared" si="1"/>
        <v>12.170161077240991</v>
      </c>
    </row>
    <row r="5" spans="1:9" x14ac:dyDescent="0.3">
      <c r="A5" s="1" t="s">
        <v>8</v>
      </c>
      <c r="B5">
        <v>34.830892296172699</v>
      </c>
      <c r="C5">
        <v>2.1385796961849599</v>
      </c>
      <c r="D5">
        <v>1434.9204620385999</v>
      </c>
      <c r="E5">
        <v>5942.9235882502899</v>
      </c>
      <c r="F5">
        <v>150</v>
      </c>
      <c r="G5">
        <f t="shared" si="0"/>
        <v>4.2771593923699198</v>
      </c>
      <c r="I5">
        <f t="shared" si="1"/>
        <v>12.279787023543765</v>
      </c>
    </row>
    <row r="6" spans="1:9" x14ac:dyDescent="0.3">
      <c r="A6" s="1" t="s">
        <v>9</v>
      </c>
      <c r="B6">
        <v>32.911559194994901</v>
      </c>
      <c r="C6">
        <v>2.0332432648927701</v>
      </c>
      <c r="D6">
        <v>8801.0865400350795</v>
      </c>
      <c r="E6">
        <v>5665.0874999112302</v>
      </c>
      <c r="F6">
        <v>215</v>
      </c>
      <c r="G6">
        <f t="shared" si="0"/>
        <v>4.0664865297855401</v>
      </c>
      <c r="I6">
        <f t="shared" si="1"/>
        <v>12.35580030010842</v>
      </c>
    </row>
    <row r="7" spans="1:9" x14ac:dyDescent="0.3">
      <c r="A7" s="1" t="s">
        <v>10</v>
      </c>
      <c r="B7">
        <v>34.428399494741903</v>
      </c>
      <c r="C7">
        <v>2.1103533788142199</v>
      </c>
      <c r="D7">
        <v>2473.3424584760501</v>
      </c>
      <c r="E7">
        <v>5868.2589824085899</v>
      </c>
      <c r="F7">
        <v>1720</v>
      </c>
      <c r="G7">
        <f t="shared" si="0"/>
        <v>4.2207067576284398</v>
      </c>
      <c r="I7">
        <f t="shared" si="1"/>
        <v>12.259375456221978</v>
      </c>
    </row>
    <row r="8" spans="1:9" x14ac:dyDescent="0.3">
      <c r="A8" s="1" t="s">
        <v>11</v>
      </c>
      <c r="B8">
        <v>33.213133936368301</v>
      </c>
      <c r="C8">
        <v>2.0274847937751699</v>
      </c>
      <c r="D8">
        <v>6920.0759643070896</v>
      </c>
      <c r="E8">
        <v>8391.0066838910498</v>
      </c>
      <c r="F8">
        <v>140</v>
      </c>
      <c r="G8">
        <f t="shared" si="0"/>
        <v>4.0549695875503398</v>
      </c>
      <c r="I8">
        <f t="shared" si="1"/>
        <v>12.20893395762981</v>
      </c>
    </row>
    <row r="9" spans="1:9" x14ac:dyDescent="0.3">
      <c r="A9" s="1" t="s">
        <v>12</v>
      </c>
      <c r="B9">
        <v>32.935615735124799</v>
      </c>
      <c r="C9">
        <v>2.0336825097343598</v>
      </c>
      <c r="D9">
        <v>3444.9873022811598</v>
      </c>
      <c r="E9">
        <v>8488.2904200704907</v>
      </c>
      <c r="F9">
        <v>140</v>
      </c>
      <c r="G9">
        <f t="shared" si="0"/>
        <v>4.0673650194687196</v>
      </c>
      <c r="I9">
        <f t="shared" si="1"/>
        <v>12.3494427800571</v>
      </c>
    </row>
    <row r="10" spans="1:9" x14ac:dyDescent="0.3">
      <c r="A10" s="1" t="s">
        <v>13</v>
      </c>
      <c r="B10">
        <v>34.345406089210897</v>
      </c>
      <c r="C10">
        <v>1.85304481174833</v>
      </c>
      <c r="D10">
        <v>3833.6794701495301</v>
      </c>
      <c r="E10">
        <v>4161.1814735487496</v>
      </c>
      <c r="F10">
        <v>2925</v>
      </c>
      <c r="G10">
        <f t="shared" si="0"/>
        <v>3.70608962349666</v>
      </c>
      <c r="I10">
        <f t="shared" si="1"/>
        <v>10.790641443779212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lgt505</dc:creator>
  <cp:lastModifiedBy>lgt505</cp:lastModifiedBy>
  <dcterms:created xsi:type="dcterms:W3CDTF">2024-09-03T17:11:18Z</dcterms:created>
  <dcterms:modified xsi:type="dcterms:W3CDTF">2024-09-03T17:28:29Z</dcterms:modified>
</cp:coreProperties>
</file>