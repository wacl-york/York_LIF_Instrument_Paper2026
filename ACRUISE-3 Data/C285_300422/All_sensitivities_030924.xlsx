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RUISE\C285_300422\"/>
    </mc:Choice>
  </mc:AlternateContent>
  <bookViews>
    <workbookView xWindow="0" yWindow="0" windowWidth="23040" windowHeight="8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</calcChain>
</file>

<file path=xl/sharedStrings.xml><?xml version="1.0" encoding="utf-8"?>
<sst xmlns="http://schemas.openxmlformats.org/spreadsheetml/2006/main" count="27" uniqueCount="27">
  <si>
    <t>Average Time</t>
  </si>
  <si>
    <t>2022-04-30 12:43:40.213333248</t>
  </si>
  <si>
    <t>2022-04-30 13:18:28.080000</t>
  </si>
  <si>
    <t>2022-04-30 13:42:52.213333248</t>
  </si>
  <si>
    <t>2022-04-30 13:49:40.080000</t>
  </si>
  <si>
    <t>2022-04-30 14:16:36.080000</t>
  </si>
  <si>
    <t>2022-04-30 15:04:28.213333248</t>
  </si>
  <si>
    <t>2022-04-30 15:36:52.280000256</t>
  </si>
  <si>
    <t>2022-04-30 16:08:20.413333504</t>
  </si>
  <si>
    <t>2022-04-30 16:22:12.280000256</t>
  </si>
  <si>
    <t>2022-04-30 12:30:34.929999616</t>
  </si>
  <si>
    <t>2022-04-30 12:41:06.929999616</t>
  </si>
  <si>
    <t>2022-04-30 12:54:02.929999616</t>
  </si>
  <si>
    <t>2022-04-30 13:06:10.929999616</t>
  </si>
  <si>
    <t>2022-04-30 14:25:46.880000</t>
  </si>
  <si>
    <t>2022-04-30 14:52:18.929999616</t>
  </si>
  <si>
    <t>2022-04-30 15:00:58.929999616</t>
  </si>
  <si>
    <t>2022-04-30 15:24:43.129999872</t>
  </si>
  <si>
    <t>2022-04-30 16:31:55.280000</t>
  </si>
  <si>
    <t>2022-04-30 16:42:51.079999744</t>
  </si>
  <si>
    <t>Sensitivity</t>
  </si>
  <si>
    <t>Sensitivity Error</t>
  </si>
  <si>
    <t>Intercept</t>
  </si>
  <si>
    <t>Intercept Error</t>
  </si>
  <si>
    <t>Altitude</t>
  </si>
  <si>
    <t>Sens_error2</t>
  </si>
  <si>
    <t>Percent_err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</si>
</sst>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K11" sqref="K11"/>
    </sheetView>
  </sheetViews>
  <sheetFormatPr defaultRowHeight="14.4" x14ac:dyDescent="0.3"/>
  <cols>
    <col min="1" max="1" width="27.88671875" bestFit="1" customWidth="1"/>
  </cols>
  <sheetData>
    <row r="1" spans="1:9" x14ac:dyDescent="0.3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I1" t="s">
        <v>26</v>
      </c>
    </row>
    <row r="2" spans="1:9" x14ac:dyDescent="0.3">
      <c r="A2" s="1" t="s">
        <v>1</v>
      </c>
      <c r="B2">
        <v>33.342362142339503</v>
      </c>
      <c r="C2">
        <v>2.4610550552105601</v>
      </c>
      <c r="D2">
        <v>2604.8323607982002</v>
      </c>
      <c r="E2">
        <v>9535.7698155573707</v>
      </c>
      <c r="F2">
        <v>380</v>
      </c>
      <c r="G2">
        <f xml:space="preserve"> C2*2</f>
        <v>4.9221101104211202</v>
      </c>
      <c r="I2">
        <f xml:space="preserve"> (G2/B2) *100</f>
        <v>14.76233174304955</v>
      </c>
    </row>
    <row r="3" spans="1:9" x14ac:dyDescent="0.3">
      <c r="A3" s="1" t="s">
        <v>2</v>
      </c>
      <c r="B3">
        <v>34.355373334413301</v>
      </c>
      <c r="C3">
        <v>2.52484570642569</v>
      </c>
      <c r="D3">
        <v>1634.6970681381699</v>
      </c>
      <c r="E3">
        <v>9749.2325491514493</v>
      </c>
      <c r="F3">
        <v>410</v>
      </c>
      <c r="G3">
        <f t="shared" ref="G3:G20" si="0" xml:space="preserve"> C3*2</f>
        <v>5.0496914128513799</v>
      </c>
      <c r="I3">
        <f t="shared" ref="I3:I20" si="1" xml:space="preserve"> (G3/B3) *100</f>
        <v>14.698403547235431</v>
      </c>
    </row>
    <row r="4" spans="1:9" x14ac:dyDescent="0.3">
      <c r="A4" s="1" t="s">
        <v>3</v>
      </c>
      <c r="B4">
        <v>33.849763616623697</v>
      </c>
      <c r="C4">
        <v>2.0597853782042099</v>
      </c>
      <c r="D4">
        <v>1711.4824797644201</v>
      </c>
      <c r="E4">
        <v>8502.92632241311</v>
      </c>
      <c r="F4">
        <v>620</v>
      </c>
      <c r="G4">
        <f t="shared" si="0"/>
        <v>4.1195707564084199</v>
      </c>
      <c r="I4">
        <f t="shared" si="1"/>
        <v>12.170161077240991</v>
      </c>
    </row>
    <row r="5" spans="1:9" x14ac:dyDescent="0.3">
      <c r="A5" s="1" t="s">
        <v>4</v>
      </c>
      <c r="B5">
        <v>34.830892296172699</v>
      </c>
      <c r="C5">
        <v>2.1385796961849599</v>
      </c>
      <c r="D5">
        <v>1434.9204620385999</v>
      </c>
      <c r="E5">
        <v>5942.9235882502899</v>
      </c>
      <c r="F5">
        <v>150</v>
      </c>
      <c r="G5">
        <f t="shared" si="0"/>
        <v>4.2771593923699198</v>
      </c>
      <c r="I5">
        <f t="shared" si="1"/>
        <v>12.279787023543765</v>
      </c>
    </row>
    <row r="6" spans="1:9" x14ac:dyDescent="0.3">
      <c r="A6" s="1" t="s">
        <v>5</v>
      </c>
      <c r="B6">
        <v>32.911559194994901</v>
      </c>
      <c r="C6">
        <v>2.0332432648927701</v>
      </c>
      <c r="D6">
        <v>8801.0865400350795</v>
      </c>
      <c r="E6">
        <v>5665.0874999112302</v>
      </c>
      <c r="F6">
        <v>215</v>
      </c>
      <c r="G6">
        <f t="shared" si="0"/>
        <v>4.0664865297855401</v>
      </c>
      <c r="I6">
        <f t="shared" si="1"/>
        <v>12.35580030010842</v>
      </c>
    </row>
    <row r="7" spans="1:9" x14ac:dyDescent="0.3">
      <c r="A7" s="1" t="s">
        <v>6</v>
      </c>
      <c r="B7">
        <v>34.428399494741903</v>
      </c>
      <c r="C7">
        <v>2.1103533788142199</v>
      </c>
      <c r="D7">
        <v>2473.3424584760501</v>
      </c>
      <c r="E7">
        <v>5868.2589824085899</v>
      </c>
      <c r="F7">
        <v>1720</v>
      </c>
      <c r="G7">
        <f t="shared" si="0"/>
        <v>4.2207067576284398</v>
      </c>
      <c r="I7">
        <f t="shared" si="1"/>
        <v>12.259375456221978</v>
      </c>
    </row>
    <row r="8" spans="1:9" x14ac:dyDescent="0.3">
      <c r="A8" s="1" t="s">
        <v>7</v>
      </c>
      <c r="B8">
        <v>33.213133936368301</v>
      </c>
      <c r="C8">
        <v>2.0274847937751699</v>
      </c>
      <c r="D8">
        <v>6920.0759643070896</v>
      </c>
      <c r="E8">
        <v>8391.0066838910498</v>
      </c>
      <c r="F8">
        <v>140</v>
      </c>
      <c r="G8">
        <f t="shared" si="0"/>
        <v>4.0549695875503398</v>
      </c>
      <c r="I8">
        <f t="shared" si="1"/>
        <v>12.20893395762981</v>
      </c>
    </row>
    <row r="9" spans="1:9" x14ac:dyDescent="0.3">
      <c r="A9" s="1" t="s">
        <v>8</v>
      </c>
      <c r="B9">
        <v>32.935615735124799</v>
      </c>
      <c r="C9">
        <v>2.0336825097343598</v>
      </c>
      <c r="D9">
        <v>3444.9873022811598</v>
      </c>
      <c r="E9">
        <v>8488.2904200704907</v>
      </c>
      <c r="F9">
        <v>140</v>
      </c>
      <c r="G9">
        <f t="shared" si="0"/>
        <v>4.0673650194687196</v>
      </c>
      <c r="I9">
        <f t="shared" si="1"/>
        <v>12.3494427800571</v>
      </c>
    </row>
    <row r="10" spans="1:9" x14ac:dyDescent="0.3">
      <c r="A10" s="1" t="s">
        <v>9</v>
      </c>
      <c r="B10">
        <v>34.345406089210897</v>
      </c>
      <c r="C10">
        <v>1.85304481174833</v>
      </c>
      <c r="D10">
        <v>3833.6794701495301</v>
      </c>
      <c r="E10">
        <v>4161.1814735487496</v>
      </c>
      <c r="F10">
        <v>2925</v>
      </c>
      <c r="G10">
        <f t="shared" si="0"/>
        <v>3.70608962349666</v>
      </c>
      <c r="I10">
        <f t="shared" si="1"/>
        <v>10.790641443779212</v>
      </c>
    </row>
    <row r="11" spans="1:9" x14ac:dyDescent="0.3">
      <c r="A11" s="1" t="s">
        <v>10</v>
      </c>
      <c r="B11">
        <v>32.925828527223501</v>
      </c>
      <c r="C11">
        <v>1.1597828795324301</v>
      </c>
      <c r="D11">
        <v>3271.2303779459999</v>
      </c>
      <c r="E11">
        <v>544.77583720498706</v>
      </c>
      <c r="F11">
        <v>400</v>
      </c>
      <c r="G11">
        <f t="shared" si="0"/>
        <v>2.3195657590648602</v>
      </c>
      <c r="I11">
        <f t="shared" si="1"/>
        <v>7.0448212325075223</v>
      </c>
    </row>
    <row r="12" spans="1:9" x14ac:dyDescent="0.3">
      <c r="A12" s="1" t="s">
        <v>11</v>
      </c>
      <c r="B12">
        <v>35.3140950277201</v>
      </c>
      <c r="C12">
        <v>1.24395768194389</v>
      </c>
      <c r="D12">
        <v>4246.7361226366402</v>
      </c>
      <c r="E12">
        <v>528.67940739779499</v>
      </c>
      <c r="F12">
        <v>390</v>
      </c>
      <c r="G12">
        <f t="shared" si="0"/>
        <v>2.48791536388778</v>
      </c>
      <c r="I12">
        <f t="shared" si="1"/>
        <v>7.0451058194606704</v>
      </c>
    </row>
    <row r="13" spans="1:9" x14ac:dyDescent="0.3">
      <c r="A13" s="1" t="s">
        <v>12</v>
      </c>
      <c r="B13">
        <v>35.868178385570197</v>
      </c>
      <c r="C13">
        <v>1.2666463993755701</v>
      </c>
      <c r="D13">
        <v>3968.32429812809</v>
      </c>
      <c r="E13">
        <v>577.14440993688095</v>
      </c>
      <c r="F13">
        <v>390</v>
      </c>
      <c r="G13">
        <f t="shared" si="0"/>
        <v>2.5332927987511402</v>
      </c>
      <c r="I13">
        <f t="shared" si="1"/>
        <v>7.0627863269752398</v>
      </c>
    </row>
    <row r="14" spans="1:9" x14ac:dyDescent="0.3">
      <c r="A14" s="1" t="s">
        <v>13</v>
      </c>
      <c r="B14">
        <v>30.8715525737632</v>
      </c>
      <c r="C14">
        <v>1.09632862681458</v>
      </c>
      <c r="D14">
        <v>3551.8825893742801</v>
      </c>
      <c r="E14">
        <v>527.74739148863705</v>
      </c>
      <c r="F14">
        <v>390</v>
      </c>
      <c r="G14">
        <f t="shared" si="0"/>
        <v>2.19265725362916</v>
      </c>
      <c r="I14">
        <f t="shared" si="1"/>
        <v>7.1025169478927772</v>
      </c>
    </row>
    <row r="15" spans="1:9" x14ac:dyDescent="0.3">
      <c r="A15" s="1" t="s">
        <v>14</v>
      </c>
      <c r="B15">
        <v>34.624112840547099</v>
      </c>
      <c r="C15">
        <v>2.5600857041306502</v>
      </c>
      <c r="D15">
        <v>8553.7336922513205</v>
      </c>
      <c r="E15">
        <v>6622.9413622350503</v>
      </c>
      <c r="F15">
        <v>130</v>
      </c>
      <c r="G15">
        <f t="shared" si="0"/>
        <v>5.1201714082613003</v>
      </c>
      <c r="I15">
        <f t="shared" si="1"/>
        <v>14.787877546035618</v>
      </c>
    </row>
    <row r="16" spans="1:9" x14ac:dyDescent="0.3">
      <c r="A16" s="1" t="s">
        <v>15</v>
      </c>
      <c r="B16">
        <v>32.720557322544003</v>
      </c>
      <c r="C16">
        <v>1.17278255841864</v>
      </c>
      <c r="D16">
        <v>5960.7574501633399</v>
      </c>
      <c r="E16">
        <v>601.05960836084205</v>
      </c>
      <c r="F16">
        <v>120</v>
      </c>
      <c r="G16">
        <f t="shared" si="0"/>
        <v>2.34556511683728</v>
      </c>
      <c r="I16">
        <f t="shared" si="1"/>
        <v>7.1684754440940353</v>
      </c>
    </row>
    <row r="17" spans="1:9" x14ac:dyDescent="0.3">
      <c r="A17" s="1" t="s">
        <v>16</v>
      </c>
      <c r="B17">
        <v>36.124352973673801</v>
      </c>
      <c r="C17">
        <v>1.28563363301971</v>
      </c>
      <c r="D17">
        <v>1355.81644900079</v>
      </c>
      <c r="E17">
        <v>585.62304748935105</v>
      </c>
      <c r="F17">
        <v>1720</v>
      </c>
      <c r="G17">
        <f t="shared" si="0"/>
        <v>2.57126726603942</v>
      </c>
      <c r="I17">
        <f t="shared" si="1"/>
        <v>7.1178223397198899</v>
      </c>
    </row>
    <row r="18" spans="1:9" x14ac:dyDescent="0.3">
      <c r="A18" s="1" t="s">
        <v>17</v>
      </c>
      <c r="B18">
        <v>34.840096231477098</v>
      </c>
      <c r="C18">
        <v>1.2279670904542299</v>
      </c>
      <c r="D18">
        <v>4318.09431643467</v>
      </c>
      <c r="E18">
        <v>581.50926507112797</v>
      </c>
      <c r="F18">
        <v>135</v>
      </c>
      <c r="G18">
        <f t="shared" si="0"/>
        <v>2.4559341809084598</v>
      </c>
      <c r="I18">
        <f t="shared" si="1"/>
        <v>7.049160153264987</v>
      </c>
    </row>
    <row r="19" spans="1:9" x14ac:dyDescent="0.3">
      <c r="A19" s="1" t="s">
        <v>18</v>
      </c>
      <c r="B19">
        <v>31.6460254424711</v>
      </c>
      <c r="C19">
        <v>0.88153485047896096</v>
      </c>
      <c r="D19">
        <v>12766.0757218444</v>
      </c>
      <c r="E19">
        <v>426.86479950710299</v>
      </c>
      <c r="F19">
        <v>2920</v>
      </c>
      <c r="G19">
        <f t="shared" si="0"/>
        <v>1.7630697009579219</v>
      </c>
      <c r="I19">
        <f t="shared" si="1"/>
        <v>5.5712200072738476</v>
      </c>
    </row>
    <row r="20" spans="1:9" x14ac:dyDescent="0.3">
      <c r="A20" s="1" t="s">
        <v>19</v>
      </c>
      <c r="B20">
        <v>34.881942074651903</v>
      </c>
      <c r="C20">
        <v>0.96758829905695498</v>
      </c>
      <c r="D20">
        <v>3300.7466132507998</v>
      </c>
      <c r="E20">
        <v>309.03453466019698</v>
      </c>
      <c r="F20">
        <v>2790</v>
      </c>
      <c r="G20">
        <f t="shared" si="0"/>
        <v>1.93517659811391</v>
      </c>
      <c r="I20">
        <f t="shared" si="1"/>
        <v>5.5477891511097059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2024-09-03T13:33:09Z</dcterms:created>
  <dcterms:modified xsi:type="dcterms:W3CDTF">2024-09-03T14:08:32Z</dcterms:modified>
</cp:coreProperties>
</file>