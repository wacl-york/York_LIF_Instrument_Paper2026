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7_020522\"/>
    </mc:Choice>
  </mc:AlternateContent>
  <bookViews>
    <workbookView xWindow="0" yWindow="0" windowWidth="28800" windowHeight="118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G15" i="1"/>
  <c r="I14" i="1"/>
  <c r="G14" i="1"/>
  <c r="G13" i="1"/>
  <c r="I13" i="1" s="1"/>
  <c r="G12" i="1"/>
  <c r="I12" i="1" s="1"/>
  <c r="I11" i="1"/>
  <c r="G11" i="1"/>
  <c r="I10" i="1"/>
  <c r="G10" i="1"/>
  <c r="G9" i="1"/>
  <c r="I9" i="1" s="1"/>
  <c r="G8" i="1"/>
  <c r="I8" i="1" s="1"/>
  <c r="I7" i="1"/>
  <c r="G7" i="1"/>
  <c r="I6" i="1"/>
  <c r="G6" i="1"/>
  <c r="G5" i="1"/>
  <c r="I5" i="1" s="1"/>
  <c r="G4" i="1"/>
  <c r="I4" i="1" s="1"/>
  <c r="I3" i="1"/>
  <c r="G3" i="1"/>
  <c r="I2" i="1"/>
  <c r="G2" i="1"/>
</calcChain>
</file>

<file path=xl/sharedStrings.xml><?xml version="1.0" encoding="utf-8"?>
<sst xmlns="http://schemas.openxmlformats.org/spreadsheetml/2006/main" count="22" uniqueCount="22">
  <si>
    <t>Sensitivity Error</t>
  </si>
  <si>
    <t>Intercept</t>
  </si>
  <si>
    <t>Intercept Error</t>
  </si>
  <si>
    <t>Altitude</t>
  </si>
  <si>
    <t>Percent_err</t>
  </si>
  <si>
    <t>2022-05-02 12:04:15.620000</t>
  </si>
  <si>
    <t>2022-05-02 12:21:55.620000</t>
  </si>
  <si>
    <t>2022-05-02 12:53:27.620000</t>
  </si>
  <si>
    <t>2022-05-02 13:20:23.620000</t>
  </si>
  <si>
    <t>2022-05-02 13:31:19.620000</t>
  </si>
  <si>
    <t>2022-05-02 13:47:59.620000</t>
  </si>
  <si>
    <t>2022-05-02 14:05:43.620000</t>
  </si>
  <si>
    <t>2022-05-02 14:21:11.620000</t>
  </si>
  <si>
    <t>2022-05-02 14:35:19.620000</t>
  </si>
  <si>
    <t>2022-05-02 15:25:11.620000</t>
  </si>
  <si>
    <t>2022-05-02 15:47:59.620000</t>
  </si>
  <si>
    <t>2022-05-02 15:55:11.620000</t>
  </si>
  <si>
    <t>2022-05-02 16:03:43.753333504</t>
  </si>
  <si>
    <t>2022-05-02 16:12:15.620000</t>
  </si>
  <si>
    <t>c287_amb_time</t>
  </si>
  <si>
    <t>c287_amb_sens</t>
  </si>
  <si>
    <t>c287_amb_err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</si>
</sst>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K9" sqref="K9"/>
    </sheetView>
  </sheetViews>
  <sheetFormatPr defaultRowHeight="14.4" x14ac:dyDescent="0.3"/>
  <sheetData>
    <row r="1" spans="1:9" x14ac:dyDescent="0.3">
      <c r="A1" t="s">
        <v>19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21</v>
      </c>
      <c r="I1" t="s">
        <v>4</v>
      </c>
    </row>
    <row r="2" spans="1:9" x14ac:dyDescent="0.3">
      <c r="A2" s="1" t="s">
        <v>5</v>
      </c>
      <c r="B2">
        <v>34.231054345543697</v>
      </c>
      <c r="C2">
        <v>1.92133546572995</v>
      </c>
      <c r="D2">
        <v>3330.8963942906698</v>
      </c>
      <c r="E2">
        <v>4250.1199720007899</v>
      </c>
      <c r="F2">
        <v>1940</v>
      </c>
      <c r="G2">
        <f xml:space="preserve"> C2*2</f>
        <v>3.8426709314598999</v>
      </c>
      <c r="I2">
        <f xml:space="preserve"> (G2/B2) * 100</f>
        <v>11.225686748267369</v>
      </c>
    </row>
    <row r="3" spans="1:9" x14ac:dyDescent="0.3">
      <c r="A3" s="1" t="s">
        <v>6</v>
      </c>
      <c r="B3">
        <v>34.320477136796001</v>
      </c>
      <c r="C3">
        <v>1.9277937698655701</v>
      </c>
      <c r="D3">
        <v>7886.6726085452001</v>
      </c>
      <c r="E3">
        <v>4293.0241027836801</v>
      </c>
      <c r="F3">
        <v>215</v>
      </c>
      <c r="G3">
        <f t="shared" ref="G3:G15" si="0" xml:space="preserve"> C3*2</f>
        <v>3.8555875397311401</v>
      </c>
      <c r="I3">
        <f t="shared" ref="I3:I15" si="1" xml:space="preserve"> (G3/B3) * 100</f>
        <v>11.234073245437052</v>
      </c>
    </row>
    <row r="4" spans="1:9" x14ac:dyDescent="0.3">
      <c r="A4" s="1" t="s">
        <v>7</v>
      </c>
      <c r="B4">
        <v>34.358041969360301</v>
      </c>
      <c r="C4">
        <v>1.9268315678891801</v>
      </c>
      <c r="D4">
        <v>5944.0223336342997</v>
      </c>
      <c r="E4">
        <v>4259.2171345462002</v>
      </c>
      <c r="F4">
        <v>120</v>
      </c>
      <c r="G4">
        <f t="shared" si="0"/>
        <v>3.8536631357783602</v>
      </c>
      <c r="I4">
        <f t="shared" si="1"/>
        <v>11.21618961643672</v>
      </c>
    </row>
    <row r="5" spans="1:9" x14ac:dyDescent="0.3">
      <c r="A5" s="1" t="s">
        <v>8</v>
      </c>
      <c r="B5">
        <v>34.115352230705803</v>
      </c>
      <c r="C5">
        <v>1.9206755403021101</v>
      </c>
      <c r="D5">
        <v>6835.55109764808</v>
      </c>
      <c r="E5">
        <v>4307.3007222030401</v>
      </c>
      <c r="F5">
        <v>1020</v>
      </c>
      <c r="G5">
        <f t="shared" si="0"/>
        <v>3.8413510806042201</v>
      </c>
      <c r="I5">
        <f t="shared" si="1"/>
        <v>11.259889842634486</v>
      </c>
    </row>
    <row r="6" spans="1:9" x14ac:dyDescent="0.3">
      <c r="A6" s="1" t="s">
        <v>9</v>
      </c>
      <c r="B6">
        <v>35.253378294271698</v>
      </c>
      <c r="C6">
        <v>1.9813484141259901</v>
      </c>
      <c r="D6">
        <v>6770.2755888662996</v>
      </c>
      <c r="E6">
        <v>4408.0340088085804</v>
      </c>
      <c r="F6">
        <v>210</v>
      </c>
      <c r="G6">
        <f t="shared" si="0"/>
        <v>3.9626968282519801</v>
      </c>
      <c r="I6">
        <f t="shared" si="1"/>
        <v>11.240615850129394</v>
      </c>
    </row>
    <row r="7" spans="1:9" x14ac:dyDescent="0.3">
      <c r="A7" s="1" t="s">
        <v>10</v>
      </c>
      <c r="B7">
        <v>34.792630843500298</v>
      </c>
      <c r="C7">
        <v>1.96340102488949</v>
      </c>
      <c r="D7">
        <v>6770.1214240377603</v>
      </c>
      <c r="E7">
        <v>4415.0673216159203</v>
      </c>
      <c r="F7">
        <v>210</v>
      </c>
      <c r="G7">
        <f t="shared" si="0"/>
        <v>3.92680204977898</v>
      </c>
      <c r="I7">
        <f t="shared" si="1"/>
        <v>11.286303894183835</v>
      </c>
    </row>
    <row r="8" spans="1:9" x14ac:dyDescent="0.3">
      <c r="A8" s="1" t="s">
        <v>11</v>
      </c>
      <c r="B8">
        <v>34.985753129542701</v>
      </c>
      <c r="C8">
        <v>1.73183742558269</v>
      </c>
      <c r="D8">
        <v>3013.00051520853</v>
      </c>
      <c r="E8">
        <v>2693.04872852266</v>
      </c>
      <c r="F8">
        <v>140</v>
      </c>
      <c r="G8">
        <f t="shared" si="0"/>
        <v>3.4636748511653801</v>
      </c>
      <c r="I8">
        <f t="shared" si="1"/>
        <v>9.9002437887797825</v>
      </c>
    </row>
    <row r="9" spans="1:9" x14ac:dyDescent="0.3">
      <c r="A9" s="1" t="s">
        <v>12</v>
      </c>
      <c r="B9">
        <v>35.377330136766901</v>
      </c>
      <c r="C9">
        <v>1.7632723715749401</v>
      </c>
      <c r="D9">
        <v>921.48318656220295</v>
      </c>
      <c r="E9">
        <v>2735.2269811332199</v>
      </c>
      <c r="F9">
        <v>215</v>
      </c>
      <c r="G9">
        <f t="shared" si="0"/>
        <v>3.5265447431498802</v>
      </c>
      <c r="I9">
        <f t="shared" si="1"/>
        <v>9.9683744632973816</v>
      </c>
    </row>
    <row r="10" spans="1:9" x14ac:dyDescent="0.3">
      <c r="A10" s="1" t="s">
        <v>13</v>
      </c>
      <c r="B10">
        <v>34.6965335084085</v>
      </c>
      <c r="C10">
        <v>1.7231978873916101</v>
      </c>
      <c r="D10">
        <v>4196.7000959064299</v>
      </c>
      <c r="E10">
        <v>2673.3480596171398</v>
      </c>
      <c r="F10">
        <v>200</v>
      </c>
      <c r="G10">
        <f t="shared" si="0"/>
        <v>3.4463957747832201</v>
      </c>
      <c r="I10">
        <f t="shared" si="1"/>
        <v>9.9329685887727273</v>
      </c>
    </row>
    <row r="11" spans="1:9" x14ac:dyDescent="0.3">
      <c r="A11" s="2" t="s">
        <v>14</v>
      </c>
      <c r="B11">
        <v>34.161588865813599</v>
      </c>
      <c r="C11">
        <v>1.7084467382849799</v>
      </c>
      <c r="D11">
        <v>7075.5111171194703</v>
      </c>
      <c r="E11">
        <v>2652.0059738056202</v>
      </c>
      <c r="F11">
        <v>130</v>
      </c>
      <c r="G11">
        <f t="shared" si="0"/>
        <v>3.4168934765699599</v>
      </c>
      <c r="I11">
        <f t="shared" si="1"/>
        <v>10.002150339059126</v>
      </c>
    </row>
    <row r="12" spans="1:9" x14ac:dyDescent="0.3">
      <c r="A12" s="1" t="s">
        <v>15</v>
      </c>
      <c r="B12">
        <v>36.899711012257399</v>
      </c>
      <c r="C12">
        <v>1.8290478647778801</v>
      </c>
      <c r="D12">
        <v>2060.2323045614999</v>
      </c>
      <c r="E12">
        <v>2816.19455805501</v>
      </c>
      <c r="F12">
        <v>3170</v>
      </c>
      <c r="G12">
        <f t="shared" si="0"/>
        <v>3.6580957295557601</v>
      </c>
      <c r="I12">
        <f t="shared" si="1"/>
        <v>9.9136162024158097</v>
      </c>
    </row>
    <row r="13" spans="1:9" x14ac:dyDescent="0.3">
      <c r="A13" s="1" t="s">
        <v>16</v>
      </c>
      <c r="B13">
        <v>35.579410834898802</v>
      </c>
      <c r="C13">
        <v>1.76242474480758</v>
      </c>
      <c r="D13">
        <v>414.59462973631099</v>
      </c>
      <c r="E13">
        <v>2707.0589139633798</v>
      </c>
      <c r="F13">
        <v>3160</v>
      </c>
      <c r="G13">
        <f t="shared" si="0"/>
        <v>3.5248494896151601</v>
      </c>
      <c r="I13">
        <f t="shared" si="1"/>
        <v>9.9069922938626576</v>
      </c>
    </row>
    <row r="14" spans="1:9" x14ac:dyDescent="0.3">
      <c r="A14" s="1" t="s">
        <v>17</v>
      </c>
      <c r="B14">
        <v>35.195862778423901</v>
      </c>
      <c r="C14">
        <v>1.7395411276105901</v>
      </c>
      <c r="D14">
        <v>4025.1295164222902</v>
      </c>
      <c r="E14">
        <v>3980.0388431244701</v>
      </c>
      <c r="F14">
        <v>3170</v>
      </c>
      <c r="G14">
        <f t="shared" si="0"/>
        <v>3.4790822552211802</v>
      </c>
      <c r="I14">
        <f t="shared" si="1"/>
        <v>9.8849182278150032</v>
      </c>
    </row>
    <row r="15" spans="1:9" x14ac:dyDescent="0.3">
      <c r="A15" s="1" t="s">
        <v>18</v>
      </c>
      <c r="B15">
        <v>33.3568985303083</v>
      </c>
      <c r="C15">
        <v>1.6503907444682</v>
      </c>
      <c r="D15">
        <v>3778.54313397533</v>
      </c>
      <c r="E15">
        <v>3759.8835298100998</v>
      </c>
      <c r="F15">
        <v>3160</v>
      </c>
      <c r="G15">
        <f t="shared" si="0"/>
        <v>3.3007814889364</v>
      </c>
      <c r="I15">
        <f t="shared" si="1"/>
        <v>9.8953488914363188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2024-09-03T17:57:12Z</dcterms:created>
  <dcterms:modified xsi:type="dcterms:W3CDTF">2024-09-03T17:58:38Z</dcterms:modified>
</cp:coreProperties>
</file>